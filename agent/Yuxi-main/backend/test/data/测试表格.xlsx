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2122287e85c9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个人所得税计算" sheetId="3" r:id="R01098ec1fdb24686"/>
  </x:sheets>
</x:workbook>
</file>

<file path=xl/sharedStrings.xml><?xml version="1.0" encoding="utf-8"?>
<x:sst xmlns:x="http://schemas.openxmlformats.org/spreadsheetml/2006/main">
  <x:si>
    <x:t xml:space="preserve">个人所得税计算</x:t>
  </x:si>
  <x:si>
    <x:t xml:space="preserve">    个人所得税中的个人应纳税所得额公式如下：＝应发工资-个人承担的社保-个人公积金-专项扣除项目-5000（元），应纳税所得额按下表的税率表计算个人所得税（其中5000元被称为起征点。）</x:t>
  </x:si>
  <x:si>
    <x:t xml:space="preserve">纳税基数范围</x:t>
  </x:si>
  <x:si>
    <x:t xml:space="preserve">税率</x:t>
  </x:si>
  <x:si>
    <x:t xml:space="preserve">速算扣除数</x:t>
  </x:si>
  <x:si>
    <x:t xml:space="preserve">(0,3000]</x:t>
  </x:si>
  <x:si>
    <x:t xml:space="preserve">(3000,12000]</x:t>
  </x:si>
  <x:si>
    <x:t xml:space="preserve">(12000,25000]</x:t>
  </x:si>
  <x:si>
    <x:t xml:space="preserve">(25000,35000]</x:t>
  </x:si>
  <x:si>
    <x:t xml:space="preserve">(35000,55000]</x:t>
  </x:si>
  <x:si>
    <x:t xml:space="preserve">(55000,80000]</x:t>
  </x:si>
  <x:si>
    <x:t xml:space="preserve">(80000,+∞]</x:t>
  </x:si>
  <x:si>
    <x:t xml:space="preserve">工号</x:t>
  </x:si>
  <x:si>
    <x:t xml:space="preserve">姓名</x:t>
  </x:si>
  <x:si>
    <x:t xml:space="preserve">应发工资</x:t>
  </x:si>
  <x:si>
    <x:t xml:space="preserve">社保公积金</x:t>
  </x:si>
  <x:si>
    <x:t xml:space="preserve">个人所得税</x:t>
  </x:si>
  <x:si>
    <x:t xml:space="preserve">实发工资</x:t>
  </x:si>
  <x:si>
    <x:t xml:space="preserve">00001</x:t>
  </x:si>
  <x:si>
    <x:t xml:space="preserve">李果果</x:t>
  </x:si>
  <x:si>
    <x:t xml:space="preserve">00002</x:t>
  </x:si>
  <x:si>
    <x:t xml:space="preserve">李芊芊</x:t>
  </x:si>
  <x:si>
    <x:t xml:space="preserve">00003</x:t>
  </x:si>
  <x:si>
    <x:t xml:space="preserve">张朵朵</x:t>
  </x:si>
  <x:si>
    <x:t xml:space="preserve">00004</x:t>
  </x:si>
  <x:si>
    <x:t xml:space="preserve">李方方</x:t>
  </x:si>
  <x:si>
    <x:t xml:space="preserve">00005</x:t>
  </x:si>
  <x:si>
    <x:t xml:space="preserve">陈芳芳</x:t>
  </x:si>
  <x:si>
    <x:t xml:space="preserve">00006</x:t>
  </x:si>
  <x:si>
    <x:t xml:space="preserve">朱亮亮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</x:si>
</x:sst>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_ \¥* #,##0.00_ ;_ \¥* \-#,##0.00_ ;_ \¥* &quot;-&quot;??_ ;_ @_ "/>
  </x:numFmts>
  <x:fonts count="29">
    <x:font>
      <x:sz val="11"/>
      <x:color theme="1"/>
      <x:name val="等线"/>
    </x:font>
    <x:font>
      <x:sz val="18"/>
      <x:color theme="1"/>
      <x:name val="宋体"/>
    </x:font>
    <x:font>
      <x:sz val="18"/>
      <x:color theme="1"/>
      <x:name val="长城中隶体"/>
    </x:font>
    <x:font>
      <x:sz val="18"/>
      <x:color theme="1"/>
      <x:name val="苏新诗古印宋简"/>
    </x:font>
    <x:font>
      <x:sz val="12"/>
      <x:name val="宋体"/>
    </x:font>
    <x:font>
      <x:sz val="14"/>
      <x:name val="宋体"/>
    </x:font>
    <x:font>
      <x:b/>
      <x:sz val="12"/>
      <x:name val="宋体"/>
    </x:font>
    <x:font>
      <x:sz val="12"/>
      <x:color theme="1"/>
      <x:name val="宋体"/>
    </x:font>
    <x:font>
      <x:b/>
      <x:sz val="12"/>
      <x:color theme="1"/>
      <x:name val="宋体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11"/>
      <x:color theme="0"/>
      <x:name val="等线"/>
    </x:font>
  </x:fonts>
  <x:fills count="34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gray0625">
        <x:fgColor rgb="FF00999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6">
    <x:border/>
    <x:border>
      <x:bottom style="medium">
        <x:color auto="1"/>
      </x:bottom>
    </x:border>
    <x:border>
      <x:top style="medium">
        <x:color auto="1"/>
      </x:top>
      <x:bottom style="medium">
        <x:color auto="1"/>
      </x:bottom>
    </x:border>
    <x:border>
      <x:right style="hair">
        <x:color auto="1"/>
      </x:right>
      <x:top style="medium">
        <x:color auto="1"/>
      </x:top>
      <x:bottom style="medium">
        <x:color auto="1"/>
      </x:bottom>
    </x:border>
    <x:border>
      <x:left style="hair">
        <x:color auto="1"/>
      </x:left>
      <x:right style="hair">
        <x:color auto="1"/>
      </x:right>
      <x:top style="medium">
        <x:color auto="1"/>
      </x:top>
      <x:bottom style="medium">
        <x:color auto="1"/>
      </x:bottom>
    </x:border>
    <x:border>
      <x:left style="hair">
        <x:color auto="1"/>
      </x:left>
      <x:top style="medium">
        <x:color auto="1"/>
      </x:top>
      <x:bottom style="medium">
        <x:color auto="1"/>
      </x:bottom>
    </x:border>
    <x:border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top style="hair">
        <x:color auto="1"/>
      </x:top>
      <x:bottom style="medium">
        <x:color auto="1"/>
      </x:bottom>
    </x:border>
    <x:border>
      <x:right style="hair">
        <x:color auto="1"/>
      </x:right>
      <x:top style="hair">
        <x:color auto="1"/>
      </x:top>
      <x:bottom style="medium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medium">
        <x:color auto="1"/>
      </x:bottom>
    </x:border>
    <x:border>
      <x:left style="hair">
        <x:color auto="1"/>
      </x:left>
      <x:top style="hair">
        <x:color auto="1"/>
      </x:top>
      <x:bottom style="medium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0" fillId="4" borderId="18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19" applyNumberFormat="0" applyFill="0" applyAlignment="0" applyProtection="0">
      <x:alignment vertical="center"/>
    </x:xf>
    <x:xf numFmtId="0" fontId="15" fillId="0" borderId="19" applyNumberFormat="0" applyFill="0" applyAlignment="0" applyProtection="0">
      <x:alignment vertical="center"/>
    </x:xf>
    <x:xf numFmtId="0" fontId="16" fillId="0" borderId="20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5" borderId="21" applyNumberFormat="0" applyAlignment="0" applyProtection="0">
      <x:alignment vertical="center"/>
    </x:xf>
    <x:xf numFmtId="0" fontId="18" fillId="6" borderId="22" applyNumberFormat="0" applyAlignment="0" applyProtection="0">
      <x:alignment vertical="center"/>
    </x:xf>
    <x:xf numFmtId="0" fontId="19" fillId="6" borderId="21" applyNumberFormat="0" applyAlignment="0" applyProtection="0">
      <x:alignment vertical="center"/>
    </x:xf>
    <x:xf numFmtId="0" fontId="20" fillId="7" borderId="23" applyNumberFormat="0" applyAlignment="0" applyProtection="0">
      <x:alignment vertical="center"/>
    </x:xf>
    <x:xf numFmtId="0" fontId="21" fillId="0" borderId="24" applyNumberFormat="0" applyFill="0" applyAlignment="0" applyProtection="0">
      <x:alignment vertical="center"/>
    </x:xf>
    <x:xf numFmtId="0" fontId="22" fillId="0" borderId="25" applyNumberFormat="0" applyFill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6" fillId="11" borderId="0" applyNumberFormat="0" applyBorder="0" applyAlignment="0" applyProtection="0">
      <x:alignment vertical="center"/>
    </x:xf>
    <x:xf numFmtId="0" fontId="27" fillId="2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6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0" fillId="0" borderId="0"/>
  </x:cellStyleXfs>
  <x:cellXfs count="6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Fill="1" applyBorder="1" applyAlignment="1">
      <x:alignment horizontal="center" vertical="center" wrapText="1"/>
    </x:xf>
    <x:xf numFmtId="0" fontId="5" fillId="0" borderId="0" xfId="0" applyFont="1" applyFill="1" applyBorder="1" applyAlignment="1">
      <x:alignment vertical="center" wrapText="1"/>
    </x:xf>
    <x:xf numFmtId="0" fontId="5" fillId="0" borderId="1" xfId="0" applyFont="1" applyFill="1" applyBorder="1" applyAlignment="1">
      <x:alignment vertical="center" wrapText="1"/>
    </x:xf>
    <x:xf numFmtId="0" fontId="4" fillId="0" borderId="1" xfId="0" applyFont="1" applyFill="1" applyBorder="1" applyAlignment="1">
      <x:alignment horizontal="center" vertical="center" wrapText="1"/>
    </x:xf>
    <x:xf numFmtId="0" fontId="6" fillId="2" borderId="2" xfId="41" applyFont="1" applyFill="1" applyBorder="1" applyAlignment="1">
      <x:alignment horizontal="center" vertical="center"/>
    </x:xf>
    <x:xf numFmtId="0" fontId="6" fillId="2" borderId="3" xfId="41" applyFont="1" applyFill="1" applyBorder="1" applyAlignment="1">
      <x:alignment horizontal="center" vertical="center"/>
    </x:xf>
    <x:xf numFmtId="0" fontId="6" fillId="2" borderId="4" xfId="41" applyFont="1" applyFill="1" applyBorder="1" applyAlignment="1">
      <x:alignment horizontal="center" vertical="center"/>
    </x:xf>
    <x:xf numFmtId="0" fontId="6" fillId="2" borderId="5" xfId="41" applyFont="1" applyFill="1" applyBorder="1" applyAlignment="1">
      <x:alignment horizontal="center" vertical="center"/>
    </x:xf>
    <x:xf numFmtId="0" fontId="4" fillId="0" borderId="6" xfId="0" applyFont="1" applyFill="1" applyBorder="1" applyAlignment="1">
      <x:alignment horizontal="center" vertical="center"/>
    </x:xf>
    <x:xf numFmtId="0" fontId="4" fillId="0" borderId="7" xfId="0" applyFont="1" applyFill="1" applyBorder="1" applyAlignment="1">
      <x:alignment horizontal="center" vertical="center"/>
    </x:xf>
    <x:xf numFmtId="0" fontId="4" fillId="0" borderId="8" xfId="0" applyFont="1" applyFill="1" applyBorder="1" applyAlignment="1">
      <x:alignment horizontal="center" vertical="center"/>
    </x:xf>
    <x:xf numFmtId="9" fontId="4" fillId="0" borderId="8" xfId="0" applyNumberFormat="1" applyFont="1" applyFill="1" applyBorder="1" applyAlignment="1">
      <x:alignment horizontal="center" vertical="center"/>
    </x:xf>
    <x:xf numFmtId="43" fontId="4" fillId="0" borderId="8" xfId="0" applyNumberFormat="1" applyFont="1" applyFill="1" applyBorder="1" applyAlignment="1">
      <x:alignment horizontal="center" vertical="center"/>
    </x:xf>
    <x:xf numFmtId="43" fontId="4" fillId="0" borderId="9" xfId="0" applyNumberFormat="1" applyFont="1" applyFill="1" applyBorder="1" applyAlignment="1">
      <x:alignment horizontal="center" vertical="center"/>
    </x:xf>
    <x:xf numFmtId="43" fontId="4" fillId="0" borderId="6" xfId="0" applyNumberFormat="1" applyFont="1" applyFill="1" applyBorder="1" applyAlignment="1">
      <x:alignment vertical="center"/>
    </x:xf>
    <x:xf numFmtId="0" fontId="4" fillId="0" borderId="10" xfId="0" applyFont="1" applyFill="1" applyBorder="1" applyAlignment="1">
      <x:alignment horizontal="center" vertical="center"/>
    </x:xf>
    <x:xf numFmtId="0" fontId="4" fillId="0" borderId="11" xfId="0" applyFont="1" applyFill="1" applyBorder="1" applyAlignment="1">
      <x:alignment horizontal="center" vertical="center"/>
    </x:xf>
    <x:xf numFmtId="0" fontId="4" fillId="0" borderId="12" xfId="0" applyFont="1" applyFill="1" applyBorder="1" applyAlignment="1">
      <x:alignment horizontal="center" vertical="center"/>
    </x:xf>
    <x:xf numFmtId="9" fontId="4" fillId="0" borderId="12" xfId="0" applyNumberFormat="1" applyFont="1" applyFill="1" applyBorder="1" applyAlignment="1">
      <x:alignment horizontal="center" vertical="center"/>
    </x:xf>
    <x:xf numFmtId="43" fontId="4" fillId="0" borderId="12" xfId="0" applyNumberFormat="1" applyFont="1" applyFill="1" applyBorder="1" applyAlignment="1">
      <x:alignment horizontal="center" vertical="center"/>
    </x:xf>
    <x:xf numFmtId="43" fontId="4" fillId="0" borderId="13" xfId="0" applyNumberFormat="1" applyFont="1" applyFill="1" applyBorder="1" applyAlignment="1">
      <x:alignment horizontal="center" vertical="center"/>
    </x:xf>
    <x:xf numFmtId="43" fontId="4" fillId="0" borderId="10" xfId="0" applyNumberFormat="1" applyFont="1" applyFill="1" applyBorder="1" applyAlignment="1">
      <x:alignment vertical="center"/>
    </x:xf>
    <x:xf numFmtId="0" fontId="4" fillId="0" borderId="14" xfId="0" applyFont="1" applyFill="1" applyBorder="1" applyAlignment="1">
      <x:alignment horizontal="center" vertical="center"/>
    </x:xf>
    <x:xf numFmtId="0" fontId="4" fillId="0" borderId="15" xfId="0" applyFont="1" applyFill="1" applyBorder="1" applyAlignment="1">
      <x:alignment horizontal="center" vertical="center"/>
    </x:xf>
    <x:xf numFmtId="0" fontId="4" fillId="0" borderId="16" xfId="0" applyFont="1" applyFill="1" applyBorder="1" applyAlignment="1">
      <x:alignment horizontal="center" vertical="center"/>
    </x:xf>
    <x:xf numFmtId="9" fontId="4" fillId="0" borderId="16" xfId="0" applyNumberFormat="1" applyFont="1" applyFill="1" applyBorder="1" applyAlignment="1">
      <x:alignment horizontal="center" vertical="center"/>
    </x:xf>
    <x:xf numFmtId="9" fontId="6" fillId="0" borderId="16" xfId="0" applyNumberFormat="1" applyFont="1" applyFill="1" applyBorder="1" applyAlignment="1">
      <x:alignment horizontal="center" vertical="center"/>
    </x:xf>
    <x:xf numFmtId="9" fontId="6" fillId="0" borderId="17" xfId="0" applyNumberFormat="1" applyFont="1" applyFill="1" applyBorder="1" applyAlignment="1">
      <x:alignment horizontal="center" vertical="center"/>
    </x:xf>
    <x:xf numFmtId="176" fontId="6" fillId="0" borderId="14" xfId="0" applyNumberFormat="1" applyFont="1" applyFill="1" applyBorder="1" applyAlignment="1">
      <x:alignment vertical="center"/>
    </x:xf>
    <x:xf numFmtId="0" fontId="4" fillId="0" borderId="0" xfId="0" applyFont="1" applyFill="1" applyBorder="1" applyAlignment="1">
      <x:alignment horizontal="center" vertical="center"/>
    </x:xf>
    <x:xf numFmtId="9" fontId="4" fillId="0" borderId="0" xfId="0" applyNumberFormat="1" applyFont="1" applyFill="1" applyBorder="1" applyAlignment="1">
      <x:alignment horizontal="center" vertical="center"/>
    </x:xf>
    <x:xf numFmtId="9" fontId="6" fillId="0" borderId="0" xfId="0" applyNumberFormat="1" applyFont="1" applyFill="1" applyBorder="1" applyAlignment="1">
      <x:alignment horizontal="center" vertical="center"/>
    </x:xf>
    <x:xf numFmtId="176" fontId="6" fillId="0" borderId="0" xfId="0" applyNumberFormat="1" applyFont="1" applyFill="1" applyBorder="1" applyAlignment="1">
      <x:alignment vertical="center"/>
    </x:xf>
    <x:xf numFmtId="0" fontId="1" fillId="0" borderId="0" xfId="0" applyFont="1" applyAlignment="1">
      <x:alignment horizontal="center" vertical="center"/>
    </x:xf>
    <x:xf numFmtId="0" fontId="7" fillId="2" borderId="2" xfId="0" applyFont="1" applyFill="1" applyBorder="1" applyAlignment="1">
      <x:alignment horizontal="center" vertical="center"/>
    </x:xf>
    <x:xf numFmtId="0" fontId="8" fillId="2" borderId="3" xfId="0" applyFont="1" applyFill="1" applyBorder="1" applyAlignment="1">
      <x:alignment horizontal="center" vertical="center"/>
    </x:xf>
    <x:xf numFmtId="0" fontId="8" fillId="2" borderId="4" xfId="0" applyFont="1" applyFill="1" applyBorder="1" applyAlignment="1">
      <x:alignment horizontal="center" vertical="center"/>
    </x:xf>
    <x:xf numFmtId="0" fontId="8" fillId="2" borderId="5" xfId="0" applyFont="1" applyFill="1" applyBorder="1" applyAlignment="1">
      <x:alignment horizontal="center" vertical="center"/>
    </x:xf>
    <x:xf numFmtId="0" fontId="7" fillId="0" borderId="6" xfId="0" applyFont="1" applyBorder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43" fontId="7" fillId="0" borderId="8" xfId="0" applyNumberFormat="1" applyFont="1" applyBorder="1" applyAlignment="1">
      <x:alignment horizontal="right" vertical="center"/>
    </x:xf>
    <x:xf numFmtId="43" fontId="7" fillId="3" borderId="8" xfId="0" applyNumberFormat="1" applyFont="1" applyFill="1" applyBorder="1" applyAlignment="1">
      <x:alignment horizontal="right" vertical="center"/>
    </x:xf>
    <x:xf numFmtId="43" fontId="7" fillId="0" borderId="9" xfId="0" applyNumberFormat="1" applyFont="1" applyBorder="1" applyAlignment="1">
      <x:alignment horizontal="right" vertical="center"/>
    </x:xf>
    <x:xf numFmtId="0" fontId="7" fillId="0" borderId="10" xfId="0" applyFont="1" applyBorder="1" applyAlignment="1">
      <x:alignment horizontal="center" vertical="center"/>
    </x:xf>
    <x:xf numFmtId="0" fontId="7" fillId="0" borderId="11" xfId="0" applyFont="1" applyBorder="1" applyAlignment="1">
      <x:alignment horizontal="center" vertical="center"/>
    </x:xf>
    <x:xf numFmtId="0" fontId="7" fillId="0" borderId="12" xfId="0" applyFont="1" applyBorder="1" applyAlignment="1">
      <x:alignment horizontal="center" vertical="center"/>
    </x:xf>
    <x:xf numFmtId="43" fontId="7" fillId="0" borderId="12" xfId="0" applyNumberFormat="1" applyFont="1" applyBorder="1" applyAlignment="1">
      <x:alignment horizontal="right" vertical="center"/>
    </x:xf>
    <x:xf numFmtId="0" fontId="7" fillId="0" borderId="14" xfId="0" applyFont="1" applyBorder="1" applyAlignment="1">
      <x:alignment horizontal="center" vertical="center"/>
    </x:xf>
    <x:xf numFmtId="0" fontId="7" fillId="0" borderId="15" xfId="0" applyFont="1" applyBorder="1" applyAlignment="1">
      <x:alignment horizontal="center" vertical="center"/>
    </x:xf>
    <x:xf numFmtId="0" fontId="7" fillId="0" borderId="16" xfId="0" applyFont="1" applyBorder="1" applyAlignment="1">
      <x:alignment horizontal="center" vertical="center"/>
    </x:xf>
    <x:xf numFmtId="0" fontId="7" fillId="3" borderId="16" xfId="0" applyFont="1" applyFill="1" applyBorder="1" applyAlignment="1">
      <x:alignment horizontal="center" vertical="center"/>
    </x:xf>
    <x:xf numFmtId="0" fontId="7" fillId="0" borderId="17" xfId="0" applyFont="1" applyBorder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11" xfId="0" applyFont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 7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2d1ad4c1af47e5" /><Relationship Type="http://schemas.openxmlformats.org/officeDocument/2006/relationships/theme" Target="/xl/theme/theme1.xml" Id="R1e8a7e49b16f4d7c" /><Relationship Type="http://schemas.openxmlformats.org/officeDocument/2006/relationships/sharedStrings" Target="/xl/sharedStrings.xml" Id="R1fb4a5584c28479c" /><Relationship Type="http://schemas.openxmlformats.org/officeDocument/2006/relationships/worksheet" Target="/xl/worksheets/sheet1.xml" Id="R01098ec1fdb246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20.100000381469727"/>
  <x:cols>
    <x:col min="1" max="1" width="5.625" style="2" customWidth="1"/>
    <x:col min="2" max="7" width="15.625" style="3" customWidth="1"/>
    <x:col min="8" max="8" width="5.625" style="2" customWidth="1"/>
    <x:col min="9" max="16384" width="9" style="2" customWidth="0"/>
  </x:cols>
  <x:sheetData>
    <x:row r="1" customHeight="1">
      <x:c r="A1" s="4" t="s">
        <x:v>0</x:v>
      </x:c>
      <x:c r="B1" s="4"/>
      <x:c r="C1" s="4"/>
      <x:c r="D1" s="4"/>
      <x:c r="E1" s="4"/>
      <x:c r="F1" s="4"/>
      <x:c r="G1" s="4"/>
      <x:c r="H1" s="4"/>
    </x:row>
    <x:row r="2" customHeight="1">
      <x:c r="A2" s="4"/>
      <x:c r="B2" s="4"/>
      <x:c r="C2" s="4"/>
      <x:c r="D2" s="4"/>
      <x:c r="E2" s="4"/>
      <x:c r="F2" s="4"/>
      <x:c r="G2" s="4"/>
      <x:c r="H2" s="4"/>
    </x:row>
    <x:row r="3" customHeight="1">
      <x:c r="A3" s="4"/>
      <x:c r="B3" s="4"/>
      <x:c r="C3" s="4"/>
      <x:c r="D3" s="4"/>
      <x:c r="E3" s="4"/>
      <x:c r="F3" s="4"/>
      <x:c r="G3" s="4"/>
      <x:c r="H3" s="4"/>
    </x:row>
    <x:row r="4" s="1" customFormat="1" customHeight="1">
      <x:c r="B4" s="5" t="s">
        <x:v>1</x:v>
      </x:c>
      <x:c r="C4" s="5"/>
      <x:c r="D4" s="5"/>
      <x:c r="E4" s="5"/>
      <x:c r="F4" s="5"/>
      <x:c r="G4" s="5"/>
      <x:c r="H4" s="6"/>
    </x:row>
    <x:row r="5" s="1" customFormat="1" customHeight="1">
      <x:c r="B5" s="5"/>
      <x:c r="C5" s="5"/>
      <x:c r="D5" s="5"/>
      <x:c r="E5" s="5"/>
      <x:c r="F5" s="5"/>
      <x:c r="G5" s="5"/>
      <x:c r="H5" s="6"/>
    </x:row>
    <x:row r="6" s="1" customFormat="1" customHeight="1">
      <x:c r="A6" s="7"/>
      <x:c r="B6" s="8"/>
      <x:c r="C6" s="8"/>
      <x:c r="D6" s="8"/>
      <x:c r="E6" s="8"/>
      <x:c r="F6" s="8"/>
      <x:c r="G6" s="8"/>
      <x:c r="H6" s="7"/>
    </x:row>
    <x:row r="7" s="1" customFormat="1" customHeight="1">
      <x:c r="A7" s="9"/>
      <x:c r="B7" s="10" t="s">
        <x:v>2</x:v>
      </x:c>
      <x:c r="C7" s="11"/>
      <x:c r="D7" s="11" t="s">
        <x:v>3</x:v>
      </x:c>
      <x:c r="E7" s="11"/>
      <x:c r="F7" s="11" t="s">
        <x:v>4</x:v>
      </x:c>
      <x:c r="G7" s="12"/>
      <x:c r="H7" s="9"/>
    </x:row>
    <x:row r="8" s="1" customFormat="1" customHeight="1">
      <x:c r="A8" s="13"/>
      <x:c r="B8" s="14" t="s">
        <x:v>5</x:v>
      </x:c>
      <x:c r="C8" s="15"/>
      <x:c r="D8" s="16">
        <x:v>0.03</x:v>
      </x:c>
      <x:c r="E8" s="16"/>
      <x:c r="F8" s="17"/>
      <x:c r="G8" s="18"/>
      <x:c r="H8" s="19"/>
    </x:row>
    <x:row r="9" s="1" customFormat="1" customHeight="1">
      <x:c r="A9" s="20"/>
      <x:c r="B9" s="21" t="s">
        <x:v>6</x:v>
      </x:c>
      <x:c r="C9" s="22"/>
      <x:c r="D9" s="23">
        <x:v>0.1</x:v>
      </x:c>
      <x:c r="E9" s="23"/>
      <x:c r="F9" s="24">
        <x:v>210</x:v>
      </x:c>
      <x:c r="G9" s="25"/>
      <x:c r="H9" s="26"/>
    </x:row>
    <x:row r="10" s="1" customFormat="1" customHeight="1">
      <x:c r="A10" s="20"/>
      <x:c r="B10" s="21" t="s">
        <x:v>7</x:v>
      </x:c>
      <x:c r="C10" s="22"/>
      <x:c r="D10" s="23">
        <x:v>0.2</x:v>
      </x:c>
      <x:c r="E10" s="23"/>
      <x:c r="F10" s="24">
        <x:v>1410</x:v>
      </x:c>
      <x:c r="G10" s="25"/>
      <x:c r="H10" s="26"/>
    </x:row>
    <x:row r="11" s="1" customFormat="1" customHeight="1">
      <x:c r="A11" s="20"/>
      <x:c r="B11" s="21" t="s">
        <x:v>8</x:v>
      </x:c>
      <x:c r="C11" s="22"/>
      <x:c r="D11" s="23">
        <x:v>0.25</x:v>
      </x:c>
      <x:c r="E11" s="23"/>
      <x:c r="F11" s="24">
        <x:v>2600</x:v>
      </x:c>
      <x:c r="G11" s="25"/>
      <x:c r="H11" s="26"/>
    </x:row>
    <x:row r="12" s="1" customFormat="1" customHeight="1">
      <x:c r="A12" s="20"/>
      <x:c r="B12" s="21" t="s">
        <x:v>9</x:v>
      </x:c>
      <x:c r="C12" s="22"/>
      <x:c r="D12" s="23">
        <x:v>0.3</x:v>
      </x:c>
      <x:c r="E12" s="23"/>
      <x:c r="F12" s="24">
        <x:v>4410</x:v>
      </x:c>
      <x:c r="G12" s="25"/>
      <x:c r="H12" s="26"/>
    </x:row>
    <x:row r="13" s="1" customFormat="1" customHeight="1">
      <x:c r="A13" s="20"/>
      <x:c r="B13" s="21" t="s">
        <x:v>10</x:v>
      </x:c>
      <x:c r="C13" s="22"/>
      <x:c r="D13" s="23">
        <x:v>0.35</x:v>
      </x:c>
      <x:c r="E13" s="23"/>
      <x:c r="F13" s="24">
        <x:v>7160</x:v>
      </x:c>
      <x:c r="G13" s="25"/>
      <x:c r="H13" s="26"/>
    </x:row>
    <x:row r="14" s="1" customFormat="1" customHeight="1">
      <x:c r="A14" s="20"/>
      <x:c r="B14" s="21" t="s">
        <x:v>11</x:v>
      </x:c>
      <x:c r="C14" s="22"/>
      <x:c r="D14" s="23">
        <x:v>0.45</x:v>
      </x:c>
      <x:c r="E14" s="23"/>
      <x:c r="F14" s="24">
        <x:v>15160</x:v>
      </x:c>
      <x:c r="G14" s="25"/>
      <x:c r="H14" s="26"/>
    </x:row>
    <x:row r="15" s="1" customFormat="1" customHeight="1">
      <x:c r="A15" s="27"/>
      <x:c r="B15" s="28"/>
      <x:c r="C15" s="29"/>
      <x:c r="D15" s="30"/>
      <x:c r="E15" s="30"/>
      <x:c r="F15" s="31"/>
      <x:c r="G15" s="32"/>
      <x:c r="H15" s="33"/>
    </x:row>
    <x:row r="16" s="1" customFormat="1" customHeight="1">
      <x:c r="A16" s="34"/>
      <x:c r="B16" s="34"/>
      <x:c r="C16" s="34"/>
      <x:c r="D16" s="35"/>
      <x:c r="E16" s="35"/>
      <x:c r="F16" s="36"/>
      <x:c r="G16" s="36"/>
      <x:c r="H16" s="37"/>
    </x:row>
    <x:row r="17" s="1" customFormat="1" customHeight="1">
      <x:c r="B17" s="38"/>
      <x:c r="C17" s="38"/>
      <x:c r="D17" s="38"/>
      <x:c r="E17" s="38"/>
      <x:c r="F17" s="38"/>
      <x:c r="G17" s="38"/>
    </x:row>
    <x:row r="18" s="1" customFormat="1" customHeight="1">
      <x:c r="A18" s="39"/>
      <x:c r="B18" s="40" t="s">
        <x:v>12</x:v>
      </x:c>
      <x:c r="C18" s="41" t="s">
        <x:v>13</x:v>
      </x:c>
      <x:c r="D18" s="41" t="s">
        <x:v>14</x:v>
      </x:c>
      <x:c r="E18" s="41" t="s">
        <x:v>15</x:v>
      </x:c>
      <x:c r="F18" s="41" t="s">
        <x:v>16</x:v>
      </x:c>
      <x:c r="G18" s="42" t="s">
        <x:v>17</x:v>
      </x:c>
      <x:c r="H18" s="39"/>
    </x:row>
    <x:row r="19" s="1" customFormat="1" customHeight="1">
      <x:c r="A19" s="43"/>
      <x:c r="B19" s="58" t="s">
        <x:v>18</x:v>
      </x:c>
      <x:c r="C19" s="45" t="s">
        <x:v>19</x:v>
      </x:c>
      <x:c r="D19" s="46">
        <x:v>14785.47</x:v>
      </x:c>
      <x:c r="E19" s="46">
        <x:v>1178.55</x:v>
      </x:c>
      <x:c r="F19" s="47" t="n">
        <x:f>ROUND(IF(D19-E19-5000&gt;80000,(D19-E19-5000)*45%-15160,IF(D19-E19-5000&gt;55000,(D19-E19-5000)*35%-7160,IF(D19-E19-5000&gt;35000,(D19-E19-5000)*30%-4410,IF(D19-E19-5000&gt;25000,(D19-E19-5000)*25%-2660,IF(D19-E19-5000&gt;12000,(D19-E19-5000)*20%-1410,IF(D19-E19-5000&gt;3000,(D19-E19-5000)*10%-210,IF(D19-E19-5000&gt;0,(D19-E19-5000)*3%,0))))))),2)</x:f>
        <x:v>650.69</x:v>
      </x:c>
      <x:c r="G19" s="48" t="n">
        <x:f>D19-E19-F19</x:f>
        <x:v>12956.23</x:v>
      </x:c>
      <x:c r="H19" s="43"/>
    </x:row>
    <x:row r="20" s="1" customFormat="1" customHeight="1">
      <x:c r="A20" s="49"/>
      <x:c r="B20" s="59" t="s">
        <x:v>20</x:v>
      </x:c>
      <x:c r="C20" s="51" t="s">
        <x:v>21</x:v>
      </x:c>
      <x:c r="D20" s="52">
        <x:v>3521.37</x:v>
      </x:c>
      <x:c r="E20" s="52">
        <x:v>152.14</x:v>
      </x:c>
      <x:c r="F20" s="47" t="n">
        <x:f t="shared" ref="F20:F24" si="0">ROUND(IF(D20-E20-5000&gt;80000,(D20-E20-5000)*45%-15160,IF(D20-E20-5000&gt;55000,(D20-E20-5000)*35%-7160,IF(D20-E20-5000&gt;35000,(D20-E20-5000)*30%-4410,IF(D20-E20-5000&gt;25000,(D20-E20-5000)*25%-2660,IF(D20-E20-5000&gt;12000,(D20-E20-5000)*20%-1410,IF(D20-E20-5000&gt;3000,(D20-E20-5000)*10%-210,IF(D20-E20-5000&gt;0,(D20-E20-5000)*3%,0))))))),2)</x:f>
        <x:v>0</x:v>
      </x:c>
      <x:c r="G20" s="48" t="n">
        <x:f t="shared" ref="G20:G24" si="1">D20-E20-F20</x:f>
        <x:v>3369.23</x:v>
      </x:c>
      <x:c r="H20" s="49"/>
    </x:row>
    <x:row r="21" s="1" customFormat="1" customHeight="1">
      <x:c r="A21" s="49"/>
      <x:c r="B21" s="59" t="s">
        <x:v>22</x:v>
      </x:c>
      <x:c r="C21" s="51" t="s">
        <x:v>23</x:v>
      </x:c>
      <x:c r="D21" s="52">
        <x:v>8723.13</x:v>
      </x:c>
      <x:c r="E21" s="52">
        <x:v>872.31</x:v>
      </x:c>
      <x:c r="F21" s="47">
        <x:f t="shared" si="0"/>
        <x:v>85.52</x:v>
      </x:c>
      <x:c r="G21" s="48">
        <x:f t="shared" si="1"/>
        <x:v>7765.3</x:v>
      </x:c>
      <x:c r="H21" s="49"/>
    </x:row>
    <x:row r="22" s="1" customFormat="1" customHeight="1">
      <x:c r="A22" s="49"/>
      <x:c r="B22" s="59" t="s">
        <x:v>24</x:v>
      </x:c>
      <x:c r="C22" s="51" t="s">
        <x:v>25</x:v>
      </x:c>
      <x:c r="D22" s="52">
        <x:v>4743.59</x:v>
      </x:c>
      <x:c r="E22" s="52">
        <x:v>274.36</x:v>
      </x:c>
      <x:c r="F22" s="47">
        <x:f t="shared" si="0"/>
        <x:v>0</x:v>
      </x:c>
      <x:c r="G22" s="48">
        <x:f t="shared" si="1"/>
        <x:v>4469.23</x:v>
      </x:c>
      <x:c r="H22" s="49"/>
    </x:row>
    <x:row r="23" s="1" customFormat="1" customHeight="1">
      <x:c r="A23" s="49"/>
      <x:c r="B23" s="59" t="s">
        <x:v>26</x:v>
      </x:c>
      <x:c r="C23" s="51" t="s">
        <x:v>27</x:v>
      </x:c>
      <x:c r="D23" s="52">
        <x:v>5785.47</x:v>
      </x:c>
      <x:c r="E23" s="52">
        <x:v>378.55</x:v>
      </x:c>
      <x:c r="F23" s="47">
        <x:f t="shared" si="0"/>
        <x:v>12.21</x:v>
      </x:c>
      <x:c r="G23" s="48">
        <x:f t="shared" si="1"/>
        <x:v>5394.71</x:v>
      </x:c>
      <x:c r="H23" s="49"/>
    </x:row>
    <x:row r="24" s="1" customFormat="1" customHeight="1">
      <x:c r="A24" s="49"/>
      <x:c r="B24" s="59" t="s">
        <x:v>28</x:v>
      </x:c>
      <x:c r="C24" s="51" t="s">
        <x:v>29</x:v>
      </x:c>
      <x:c r="D24" s="52">
        <x:v>6418.8</x:v>
      </x:c>
      <x:c r="E24" s="52">
        <x:v>341.88</x:v>
      </x:c>
      <x:c r="F24" s="47">
        <x:f t="shared" si="0"/>
        <x:v>32.31</x:v>
      </x:c>
      <x:c r="G24" s="48">
        <x:f t="shared" si="1"/>
        <x:v>6044.61</x:v>
      </x:c>
      <x:c r="H24" s="49"/>
    </x:row>
    <x:row r="25" s="1" customFormat="1" customHeight="1">
      <x:c r="A25" s="53"/>
      <x:c r="B25" s="54"/>
      <x:c r="C25" s="55"/>
      <x:c r="D25" s="55"/>
      <x:c r="E25" s="55"/>
      <x:c r="F25" s="56"/>
      <x:c r="G25" s="57"/>
      <x:c r="H25" s="53"/>
    </x:row>
  </x:sheetData>
  <x:mergeCells>
    <x:mergeCell ref="B7:C7"/>
    <x:mergeCell ref="D7:E7"/>
    <x:mergeCell ref="F7:G7"/>
    <x:mergeCell ref="B8:C8"/>
    <x:mergeCell ref="D8:E8"/>
    <x:mergeCell ref="F8:G8"/>
    <x:mergeCell ref="B9:C9"/>
    <x:mergeCell ref="D9:E9"/>
    <x:mergeCell ref="F9:G9"/>
    <x:mergeCell ref="B10:C10"/>
    <x:mergeCell ref="D10:E10"/>
    <x:mergeCell ref="F10:G10"/>
    <x:mergeCell ref="B11:C11"/>
    <x:mergeCell ref="D11:E11"/>
    <x:mergeCell ref="F11:G11"/>
    <x:mergeCell ref="B12:C12"/>
    <x:mergeCell ref="D12:E12"/>
    <x:mergeCell ref="F12:G12"/>
    <x:mergeCell ref="B13:C13"/>
    <x:mergeCell ref="D13:E13"/>
    <x:mergeCell ref="F13:G13"/>
    <x:mergeCell ref="B14:C14"/>
    <x:mergeCell ref="D14:E14"/>
    <x:mergeCell ref="F14:G14"/>
    <x:mergeCell ref="B15:C15"/>
    <x:mergeCell ref="D15:E15"/>
    <x:mergeCell ref="F15:G15"/>
    <x:mergeCell ref="B4:G6"/>
    <x:mergeCell ref="A1:H3"/>
  </x:mergeCells>
  <x:pageMargins left="0.7" right="0.7" top="0.75" bottom="0.75" header="0.3" footer="0.3"/>
</x:worksheet>
</file>